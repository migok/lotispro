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tab782.sharepoint.com/sites/Partage_OTAB/Documents partages/7-Informatique/"/>
    </mc:Choice>
  </mc:AlternateContent>
  <xr:revisionPtr revIDLastSave="247" documentId="11_0267224C2DC8E41931C5AFCCF26FE5DDE5CA65AB" xr6:coauthVersionLast="47" xr6:coauthVersionMax="47" xr10:uidLastSave="{DC1DF29E-7DB7-49A8-B3E5-FBC83EFFD588}"/>
  <bookViews>
    <workbookView xWindow="-120" yWindow="-120" windowWidth="29040" windowHeight="15840" xr2:uid="{00000000-000D-0000-FFFF-FFFF00000000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6" i="2"/>
  <c r="C31" i="2" s="1"/>
  <c r="D19" i="2"/>
  <c r="D16" i="2"/>
  <c r="D31" i="2" s="1"/>
  <c r="B19" i="2"/>
  <c r="B16" i="2"/>
  <c r="B31" i="2" s="1"/>
  <c r="C20" i="2" l="1"/>
  <c r="D20" i="2"/>
  <c r="B20" i="2"/>
  <c r="C26" i="2" l="1"/>
  <c r="C24" i="2"/>
  <c r="D28" i="2"/>
  <c r="D26" i="2"/>
  <c r="D24" i="2"/>
  <c r="B26" i="2"/>
  <c r="B24" i="2"/>
</calcChain>
</file>

<file path=xl/sharedStrings.xml><?xml version="1.0" encoding="utf-8"?>
<sst xmlns="http://schemas.openxmlformats.org/spreadsheetml/2006/main" count="61" uniqueCount="45">
  <si>
    <t>Projet</t>
  </si>
  <si>
    <t>A</t>
  </si>
  <si>
    <t xml:space="preserve">Surface </t>
  </si>
  <si>
    <t>50-50</t>
  </si>
  <si>
    <t>70-30</t>
  </si>
  <si>
    <t>Début commercialisation</t>
  </si>
  <si>
    <t>Plan financement</t>
  </si>
  <si>
    <t>Objectif livraison</t>
  </si>
  <si>
    <t>90-10</t>
  </si>
  <si>
    <t>Lot 500</t>
  </si>
  <si>
    <t>Prix/m² : catalogue</t>
  </si>
  <si>
    <t>Prix/m² : vente = Prix acte (fixe)</t>
  </si>
  <si>
    <t>Prix global catalogue</t>
  </si>
  <si>
    <t>Plan de paiement</t>
  </si>
  <si>
    <t>Remise</t>
  </si>
  <si>
    <t>Acompte</t>
  </si>
  <si>
    <t>Solde (50%)</t>
  </si>
  <si>
    <t>Versement acompte</t>
  </si>
  <si>
    <t>2 Fois</t>
  </si>
  <si>
    <t>Fréquence</t>
  </si>
  <si>
    <t>Mesuelle</t>
  </si>
  <si>
    <t>Trimestrielle</t>
  </si>
  <si>
    <t>Montant vesrement 1</t>
  </si>
  <si>
    <t>Montant vesrement 2</t>
  </si>
  <si>
    <t>Date versement acompte 1</t>
  </si>
  <si>
    <t>Date versement acompte 2</t>
  </si>
  <si>
    <t>Date versement solde 1/4</t>
  </si>
  <si>
    <t>Montant versement solde 1/4</t>
  </si>
  <si>
    <t>Date versement solde 2/4</t>
  </si>
  <si>
    <t>Montant versement solde 2/4</t>
  </si>
  <si>
    <t>Date versement solde 3/4</t>
  </si>
  <si>
    <t>Montant versement solde 3/4</t>
  </si>
  <si>
    <t>Date versement solde 4/4</t>
  </si>
  <si>
    <t>Montant versement solde 4/4</t>
  </si>
  <si>
    <t>Durée de financement solde</t>
  </si>
  <si>
    <t>Date livraison - Date dernier acompte</t>
  </si>
  <si>
    <t>Nb d'échénce</t>
  </si>
  <si>
    <t>Semetrielle</t>
  </si>
  <si>
    <t>3 Fois</t>
  </si>
  <si>
    <t>Date versement acompte 3</t>
  </si>
  <si>
    <t>Montant vesrement 3</t>
  </si>
  <si>
    <t>-</t>
  </si>
  <si>
    <t>Type de lot</t>
  </si>
  <si>
    <t>Economique 1F</t>
  </si>
  <si>
    <t>A la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</si>
</sst>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/>
    </xf>
    <xf numFmtId="1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5" borderId="0" xfId="0" applyFill="1"/>
    <xf numFmtId="17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1ABF-8B16-411F-9D41-98C06CB757E6}">
  <dimension ref="A1:E43"/>
  <sheetViews>
    <sheetView tabSelected="1" workbookViewId="0">
      <selection activeCell="A16" sqref="A16"/>
    </sheetView>
  </sheetViews>
  <sheetFormatPr baseColWidth="10" defaultRowHeight="15" x14ac:dyDescent="0.25"/>
  <cols>
    <col min="1" max="1" width="29.42578125" bestFit="1" customWidth="1"/>
    <col min="2" max="2" width="34.5703125" style="5" bestFit="1" customWidth="1"/>
    <col min="3" max="3" width="34.5703125" style="16" bestFit="1" customWidth="1"/>
    <col min="4" max="4" width="34.5703125" style="12" bestFit="1" customWidth="1"/>
    <col min="5" max="5" width="25" bestFit="1" customWidth="1"/>
    <col min="6" max="6" width="10.28515625" bestFit="1" customWidth="1"/>
    <col min="7" max="7" width="9.85546875" bestFit="1" customWidth="1"/>
  </cols>
  <sheetData>
    <row r="1" spans="1:5" x14ac:dyDescent="0.25">
      <c r="B1" s="4">
        <v>46113</v>
      </c>
      <c r="C1" s="15">
        <v>46113</v>
      </c>
      <c r="D1" s="8">
        <v>46478</v>
      </c>
      <c r="E1" s="1">
        <v>46844</v>
      </c>
    </row>
    <row r="2" spans="1:5" x14ac:dyDescent="0.25">
      <c r="A2" s="13" t="s">
        <v>0</v>
      </c>
      <c r="B2" s="5" t="s">
        <v>1</v>
      </c>
      <c r="C2" s="16" t="s">
        <v>1</v>
      </c>
      <c r="D2" s="9" t="s">
        <v>1</v>
      </c>
      <c r="E2" s="2" t="s">
        <v>1</v>
      </c>
    </row>
    <row r="3" spans="1:5" x14ac:dyDescent="0.25">
      <c r="A3" s="13" t="s">
        <v>5</v>
      </c>
      <c r="B3" s="4">
        <v>46023</v>
      </c>
      <c r="C3" s="15">
        <v>46023</v>
      </c>
      <c r="D3" s="8">
        <v>46023</v>
      </c>
      <c r="E3" s="1">
        <v>46023</v>
      </c>
    </row>
    <row r="4" spans="1:5" x14ac:dyDescent="0.25">
      <c r="A4" s="13" t="s">
        <v>6</v>
      </c>
      <c r="B4" s="5" t="s">
        <v>3</v>
      </c>
      <c r="C4" s="16" t="s">
        <v>3</v>
      </c>
      <c r="D4" s="7" t="s">
        <v>4</v>
      </c>
      <c r="E4" s="2" t="s">
        <v>8</v>
      </c>
    </row>
    <row r="5" spans="1:5" x14ac:dyDescent="0.25">
      <c r="A5" s="13" t="s">
        <v>7</v>
      </c>
      <c r="B5" s="4">
        <v>46844</v>
      </c>
      <c r="C5" s="15">
        <v>46844</v>
      </c>
      <c r="D5" s="10">
        <v>46844</v>
      </c>
      <c r="E5" s="3">
        <v>46844</v>
      </c>
    </row>
    <row r="6" spans="1:5" x14ac:dyDescent="0.25">
      <c r="B6" s="4"/>
      <c r="C6" s="15"/>
      <c r="D6" s="10"/>
      <c r="E6" s="3"/>
    </row>
    <row r="7" spans="1:5" x14ac:dyDescent="0.25">
      <c r="A7" s="13" t="s">
        <v>42</v>
      </c>
      <c r="B7" s="4"/>
      <c r="C7" s="15"/>
      <c r="D7" s="10"/>
      <c r="E7" s="3"/>
    </row>
    <row r="8" spans="1:5" x14ac:dyDescent="0.25">
      <c r="A8" s="13" t="s">
        <v>43</v>
      </c>
      <c r="B8" s="4"/>
      <c r="C8" s="15"/>
      <c r="D8" s="10"/>
      <c r="E8" s="3"/>
    </row>
    <row r="9" spans="1:5" x14ac:dyDescent="0.25">
      <c r="A9" s="13" t="s">
        <v>10</v>
      </c>
      <c r="B9" s="5">
        <v>4000</v>
      </c>
      <c r="C9" s="16">
        <v>4000</v>
      </c>
      <c r="D9" s="7">
        <v>5000</v>
      </c>
      <c r="E9" s="3"/>
    </row>
    <row r="10" spans="1:5" x14ac:dyDescent="0.25">
      <c r="A10" s="13" t="s">
        <v>11</v>
      </c>
      <c r="B10" s="5">
        <v>3000</v>
      </c>
      <c r="C10" s="16">
        <v>3000</v>
      </c>
      <c r="D10" s="9">
        <v>3000</v>
      </c>
      <c r="E10" s="3"/>
    </row>
    <row r="11" spans="1:5" x14ac:dyDescent="0.25">
      <c r="D11" s="9"/>
    </row>
    <row r="12" spans="1:5" x14ac:dyDescent="0.25">
      <c r="A12" s="13" t="s">
        <v>9</v>
      </c>
      <c r="D12" s="9"/>
    </row>
    <row r="13" spans="1:5" x14ac:dyDescent="0.25">
      <c r="A13" s="13" t="s">
        <v>2</v>
      </c>
      <c r="B13" s="5">
        <v>100</v>
      </c>
      <c r="C13" s="16">
        <v>100</v>
      </c>
      <c r="D13" s="9">
        <v>100</v>
      </c>
    </row>
    <row r="14" spans="1:5" x14ac:dyDescent="0.25">
      <c r="A14" s="13" t="s">
        <v>10</v>
      </c>
      <c r="B14" s="7">
        <v>4000</v>
      </c>
      <c r="C14" s="16">
        <v>4000</v>
      </c>
      <c r="D14" s="7">
        <v>5000</v>
      </c>
    </row>
    <row r="15" spans="1:5" x14ac:dyDescent="0.25">
      <c r="A15" s="13" t="s">
        <v>11</v>
      </c>
      <c r="B15" s="7">
        <v>3000</v>
      </c>
      <c r="C15" s="16">
        <v>3000</v>
      </c>
      <c r="D15" s="9">
        <v>3000</v>
      </c>
    </row>
    <row r="16" spans="1:5" x14ac:dyDescent="0.25">
      <c r="A16" s="18" t="s">
        <v>12</v>
      </c>
      <c r="B16" s="5">
        <f>B14*B13</f>
        <v>400000</v>
      </c>
      <c r="C16" s="16">
        <f>C14*C13</f>
        <v>400000</v>
      </c>
      <c r="D16" s="9">
        <f>D14*D13</f>
        <v>500000</v>
      </c>
    </row>
    <row r="17" spans="1:4" x14ac:dyDescent="0.25">
      <c r="D17" s="9"/>
    </row>
    <row r="18" spans="1:4" x14ac:dyDescent="0.25">
      <c r="A18" s="13" t="s">
        <v>13</v>
      </c>
      <c r="D18" s="9"/>
    </row>
    <row r="19" spans="1:4" x14ac:dyDescent="0.25">
      <c r="A19" s="13" t="s">
        <v>14</v>
      </c>
      <c r="B19" s="5">
        <f>(B14-B15)*B13</f>
        <v>100000</v>
      </c>
      <c r="C19" s="16">
        <f>(C14-C15)*C13</f>
        <v>100000</v>
      </c>
      <c r="D19" s="9">
        <f>(D14-D15)*D13</f>
        <v>200000</v>
      </c>
    </row>
    <row r="20" spans="1:4" x14ac:dyDescent="0.25">
      <c r="A20" s="13" t="s">
        <v>15</v>
      </c>
      <c r="B20" s="5">
        <f>(0.5*B16)-B19</f>
        <v>100000</v>
      </c>
      <c r="C20" s="16">
        <f>(0.5*C16)-C19</f>
        <v>100000</v>
      </c>
      <c r="D20" s="9">
        <f>(0.7*D16)-D19</f>
        <v>150000</v>
      </c>
    </row>
    <row r="21" spans="1:4" x14ac:dyDescent="0.25">
      <c r="A21" s="14" t="s">
        <v>17</v>
      </c>
      <c r="B21" s="5" t="s">
        <v>18</v>
      </c>
      <c r="C21" s="16" t="s">
        <v>18</v>
      </c>
      <c r="D21" s="9" t="s">
        <v>38</v>
      </c>
    </row>
    <row r="22" spans="1:4" x14ac:dyDescent="0.25">
      <c r="A22" s="14" t="s">
        <v>19</v>
      </c>
      <c r="B22" s="5" t="s">
        <v>20</v>
      </c>
      <c r="C22" s="16" t="s">
        <v>20</v>
      </c>
      <c r="D22" s="9" t="s">
        <v>20</v>
      </c>
    </row>
    <row r="23" spans="1:4" x14ac:dyDescent="0.25">
      <c r="A23" s="14" t="s">
        <v>24</v>
      </c>
      <c r="B23" s="6">
        <v>46137</v>
      </c>
      <c r="C23" s="17">
        <v>46137</v>
      </c>
      <c r="D23" s="11">
        <v>46502</v>
      </c>
    </row>
    <row r="24" spans="1:4" x14ac:dyDescent="0.25">
      <c r="A24" s="14" t="s">
        <v>22</v>
      </c>
      <c r="B24" s="5">
        <f>B20/2</f>
        <v>50000</v>
      </c>
      <c r="C24" s="16">
        <f>C20/2</f>
        <v>50000</v>
      </c>
      <c r="D24" s="9">
        <f>D20/3</f>
        <v>50000</v>
      </c>
    </row>
    <row r="25" spans="1:4" x14ac:dyDescent="0.25">
      <c r="A25" s="14" t="s">
        <v>25</v>
      </c>
      <c r="B25" s="6">
        <v>46167</v>
      </c>
      <c r="C25" s="17">
        <v>46167</v>
      </c>
      <c r="D25" s="11">
        <v>46532</v>
      </c>
    </row>
    <row r="26" spans="1:4" x14ac:dyDescent="0.25">
      <c r="A26" s="14" t="s">
        <v>23</v>
      </c>
      <c r="B26" s="5">
        <f>B20/2</f>
        <v>50000</v>
      </c>
      <c r="C26" s="16">
        <f>C20/2</f>
        <v>50000</v>
      </c>
      <c r="D26" s="9">
        <f>D20/3</f>
        <v>50000</v>
      </c>
    </row>
    <row r="27" spans="1:4" x14ac:dyDescent="0.25">
      <c r="A27" s="14" t="s">
        <v>39</v>
      </c>
      <c r="B27" s="5" t="s">
        <v>41</v>
      </c>
      <c r="C27" s="16" t="s">
        <v>41</v>
      </c>
      <c r="D27" s="11">
        <v>46563</v>
      </c>
    </row>
    <row r="28" spans="1:4" x14ac:dyDescent="0.25">
      <c r="A28" s="14" t="s">
        <v>40</v>
      </c>
      <c r="B28" s="5" t="s">
        <v>41</v>
      </c>
      <c r="C28" s="16" t="s">
        <v>41</v>
      </c>
      <c r="D28" s="9">
        <f>D20/3</f>
        <v>50000</v>
      </c>
    </row>
    <row r="29" spans="1:4" x14ac:dyDescent="0.25">
      <c r="D29" s="9"/>
    </row>
    <row r="30" spans="1:4" x14ac:dyDescent="0.25">
      <c r="D30" s="9"/>
    </row>
    <row r="31" spans="1:4" x14ac:dyDescent="0.25">
      <c r="A31" s="13" t="s">
        <v>16</v>
      </c>
      <c r="B31" s="5">
        <f>(0.5*B16)</f>
        <v>200000</v>
      </c>
      <c r="C31" s="16">
        <f>(0.5*C16)</f>
        <v>200000</v>
      </c>
      <c r="D31" s="9">
        <f>(0.3*D16)</f>
        <v>150000</v>
      </c>
    </row>
    <row r="32" spans="1:4" x14ac:dyDescent="0.25">
      <c r="A32" s="13" t="s">
        <v>34</v>
      </c>
      <c r="B32" s="5" t="s">
        <v>35</v>
      </c>
      <c r="C32" s="16" t="s">
        <v>35</v>
      </c>
      <c r="D32" s="9" t="s">
        <v>35</v>
      </c>
    </row>
    <row r="33" spans="1:4" x14ac:dyDescent="0.25">
      <c r="A33" s="13" t="s">
        <v>34</v>
      </c>
      <c r="B33" s="5">
        <v>24</v>
      </c>
      <c r="C33" s="16">
        <v>24</v>
      </c>
      <c r="D33" s="9">
        <v>12</v>
      </c>
    </row>
    <row r="34" spans="1:4" x14ac:dyDescent="0.25">
      <c r="A34" s="14" t="s">
        <v>19</v>
      </c>
      <c r="B34" s="5" t="s">
        <v>37</v>
      </c>
      <c r="C34" s="16" t="s">
        <v>44</v>
      </c>
      <c r="D34" s="9" t="s">
        <v>21</v>
      </c>
    </row>
    <row r="35" spans="1:4" x14ac:dyDescent="0.25">
      <c r="A35" s="14" t="s">
        <v>36</v>
      </c>
      <c r="B35" s="5">
        <v>4</v>
      </c>
      <c r="C35" s="16">
        <v>1</v>
      </c>
      <c r="D35" s="9">
        <v>4</v>
      </c>
    </row>
    <row r="36" spans="1:4" x14ac:dyDescent="0.25">
      <c r="A36" s="14" t="s">
        <v>26</v>
      </c>
      <c r="B36" s="6">
        <v>46204</v>
      </c>
      <c r="C36" s="17"/>
      <c r="D36" s="11">
        <v>46569</v>
      </c>
    </row>
    <row r="37" spans="1:4" x14ac:dyDescent="0.25">
      <c r="A37" s="14" t="s">
        <v>27</v>
      </c>
      <c r="B37" s="5">
        <v>50000</v>
      </c>
      <c r="D37" s="9">
        <v>50000</v>
      </c>
    </row>
    <row r="38" spans="1:4" x14ac:dyDescent="0.25">
      <c r="A38" s="14" t="s">
        <v>28</v>
      </c>
      <c r="B38" s="6">
        <v>46388</v>
      </c>
      <c r="C38" s="17"/>
      <c r="D38" s="11">
        <v>46661</v>
      </c>
    </row>
    <row r="39" spans="1:4" x14ac:dyDescent="0.25">
      <c r="A39" s="14" t="s">
        <v>29</v>
      </c>
      <c r="B39" s="5">
        <v>50000</v>
      </c>
      <c r="D39" s="9">
        <v>50000</v>
      </c>
    </row>
    <row r="40" spans="1:4" x14ac:dyDescent="0.25">
      <c r="A40" s="14" t="s">
        <v>30</v>
      </c>
      <c r="B40" s="6">
        <v>46569</v>
      </c>
      <c r="C40" s="17"/>
      <c r="D40" s="11">
        <v>46753</v>
      </c>
    </row>
    <row r="41" spans="1:4" x14ac:dyDescent="0.25">
      <c r="A41" s="14" t="s">
        <v>31</v>
      </c>
      <c r="B41" s="5">
        <v>50000</v>
      </c>
      <c r="D41" s="9">
        <v>50000</v>
      </c>
    </row>
    <row r="42" spans="1:4" x14ac:dyDescent="0.25">
      <c r="A42" s="14" t="s">
        <v>32</v>
      </c>
      <c r="B42" s="6">
        <v>46753</v>
      </c>
      <c r="C42" s="17">
        <v>46844</v>
      </c>
      <c r="D42" s="11">
        <v>46844</v>
      </c>
    </row>
    <row r="43" spans="1:4" x14ac:dyDescent="0.25">
      <c r="A43" s="14" t="s">
        <v>33</v>
      </c>
      <c r="B43" s="5">
        <v>50000</v>
      </c>
      <c r="C43" s="16">
        <v>20000</v>
      </c>
      <c r="D43" s="9">
        <v>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3d4626-667c-4c63-ac6e-5b21557202fb">
      <Terms xmlns="http://schemas.microsoft.com/office/infopath/2007/PartnerControls"/>
    </lcf76f155ced4ddcb4097134ff3c332f>
    <TaxCatchAll xmlns="c8b5c506-2340-428a-916d-fa5b951403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E7C843FF034E459824461AB349D44B" ma:contentTypeVersion="12" ma:contentTypeDescription="Crée un document." ma:contentTypeScope="" ma:versionID="9ebd2fbbc6ee766a8131695edde4425c">
  <xsd:schema xmlns:xsd="http://www.w3.org/2001/XMLSchema" xmlns:xs="http://www.w3.org/2001/XMLSchema" xmlns:p="http://schemas.microsoft.com/office/2006/metadata/properties" xmlns:ns2="d93d4626-667c-4c63-ac6e-5b21557202fb" xmlns:ns3="c8b5c506-2340-428a-916d-fa5b9514032d" targetNamespace="http://schemas.microsoft.com/office/2006/metadata/properties" ma:root="true" ma:fieldsID="e9d33808c1757044ad8702c91d5e40bd" ns2:_="" ns3:_="">
    <xsd:import namespace="d93d4626-667c-4c63-ac6e-5b21557202fb"/>
    <xsd:import namespace="c8b5c506-2340-428a-916d-fa5b951403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d4626-667c-4c63-ac6e-5b2155720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ec4980f-2826-4960-8f69-29182a4c49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5c506-2340-428a-916d-fa5b951403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عمود تصنيف الكل" ma:hidden="true" ma:list="{35183071-7d49-4c8e-9654-242049bbd03d}" ma:internalName="TaxCatchAll" ma:showField="CatchAllData" ma:web="c8b5c506-2340-428a-916d-fa5b951403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F1495-B0B1-4184-AB25-513330BBEAE4}">
  <ds:schemaRefs>
    <ds:schemaRef ds:uri="http://schemas.microsoft.com/office/2006/metadata/properties"/>
    <ds:schemaRef ds:uri="http://schemas.microsoft.com/office/infopath/2007/PartnerControls"/>
    <ds:schemaRef ds:uri="d93d4626-667c-4c63-ac6e-5b21557202fb"/>
    <ds:schemaRef ds:uri="c8b5c506-2340-428a-916d-fa5b9514032d"/>
  </ds:schemaRefs>
</ds:datastoreItem>
</file>

<file path=customXml/itemProps2.xml><?xml version="1.0" encoding="utf-8"?>
<ds:datastoreItem xmlns:ds="http://schemas.openxmlformats.org/officeDocument/2006/customXml" ds:itemID="{F5604FB4-C8E4-4E1C-B913-524F4269F4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9B5FC-C621-4491-B6FC-8AB22015E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d4626-667c-4c63-ac6e-5b21557202fb"/>
    <ds:schemaRef ds:uri="c8b5c506-2340-428a-916d-fa5b95140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Tayeb Mimouni</dc:creator>
  <cp:lastModifiedBy>Tayeb Mimouni</cp:lastModifiedBy>
  <dcterms:created xsi:type="dcterms:W3CDTF">2015-06-05T18:19:34Z</dcterms:created>
  <dcterms:modified xsi:type="dcterms:W3CDTF">2026-04-25T15:58:28Z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0x0101005CE7C843FF034E459824461AB349D44B</vt:lpwstr>
  </property>
  <property fmtid="{D5CDD505-2E9C-101B-9397-08002B2CF9AE}" pid="3" name="MediaServiceImageTags">
    <vt:lpwstr/>
  </property>
</Properties>
</file>